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Executive Summary" sheetId="1" state="visible" r:id="rId3"/>
    <sheet name="🧪 Test Cases" sheetId="2" state="visible" r:id="rId4"/>
    <sheet name="🐛 Defect Log" sheetId="3" state="visible" r:id="rId5"/>
    <sheet name="📈 Dashboard" sheetId="4" state="visible" r:id="rId6"/>
    <sheet name="✅ Release Checklist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<sst xmlns="http://schemas.openxmlformats.org/spreadsheetml/2006/main" count="354" uniqueCount="210">
  <si>
    <t xml:space="preserve">QA EXECUTION REPORT</t>
  </si>
  <si>
    <t xml:space="preserve">Sanctuary Nature Foundation – Donate Module  |  Automated UI / Functional / Boundary Validation</t>
  </si>
  <si>
    <t xml:space="preserve">Project Name</t>
  </si>
  <si>
    <t xml:space="preserve">Sanctuary Nature Foundation – Donate Module</t>
  </si>
  <si>
    <t xml:space="preserve">Test Execution Date</t>
  </si>
  <si>
    <t xml:space="preserve">2026-02-24</t>
  </si>
  <si>
    <t xml:space="preserve">Testing Type</t>
  </si>
  <si>
    <t xml:space="preserve">Automated UI / Functional / Boundary Validation</t>
  </si>
  <si>
    <t xml:space="preserve">Framework / Environment</t>
  </si>
  <si>
    <t xml:space="preserve">Pytest 8.2.0 | Windows 11 | Python 3.14.0</t>
  </si>
  <si>
    <t xml:space="preserve">Report Prepared By</t>
  </si>
  <si>
    <t xml:space="preserve">QA Engineering Team</t>
  </si>
  <si>
    <t xml:space="preserve">Report Version</t>
  </si>
  <si>
    <t xml:space="preserve">v1.0 – Production Release</t>
  </si>
  <si>
    <t xml:space="preserve">Total Test Cases</t>
  </si>
  <si>
    <t xml:space="preserve">Tests Passed</t>
  </si>
  <si>
    <t xml:space="preserve">Tests Failed</t>
  </si>
  <si>
    <t xml:space="preserve">74</t>
  </si>
  <si>
    <t xml:space="preserve">68</t>
  </si>
  <si>
    <t xml:space="preserve">6</t>
  </si>
  <si>
    <t xml:space="preserve">Pass Rate</t>
  </si>
  <si>
    <t xml:space="preserve">Defects Logged</t>
  </si>
  <si>
    <t xml:space="preserve">Critical/High</t>
  </si>
  <si>
    <t xml:space="preserve">91.8%</t>
  </si>
  <si>
    <t xml:space="preserve">3</t>
  </si>
  <si>
    <t xml:space="preserve">TEST EXECUTION SUMMARY BY MODULE</t>
  </si>
  <si>
    <t xml:space="preserve">TC ID</t>
  </si>
  <si>
    <t xml:space="preserve">Module</t>
  </si>
  <si>
    <t xml:space="preserve">Test Scenario</t>
  </si>
  <si>
    <t xml:space="preserve">Total Sub-Tests</t>
  </si>
  <si>
    <t xml:space="preserve">Passed</t>
  </si>
  <si>
    <t xml:space="preserve">Failed</t>
  </si>
  <si>
    <t xml:space="preserve">Status</t>
  </si>
  <si>
    <t xml:space="preserve">TC-001</t>
  </si>
  <si>
    <t xml:space="preserve">UI State</t>
  </si>
  <si>
    <t xml:space="preserve">Verify Page Load and Default UI</t>
  </si>
  <si>
    <t xml:space="preserve">100%</t>
  </si>
  <si>
    <t xml:space="preserve">PASS</t>
  </si>
  <si>
    <t xml:space="preserve">TC-002</t>
  </si>
  <si>
    <t xml:space="preserve">Happy Path</t>
  </si>
  <si>
    <t xml:space="preserve">Verify valid submissions</t>
  </si>
  <si>
    <t xml:space="preserve">TC-003</t>
  </si>
  <si>
    <t xml:space="preserve">Dropdown</t>
  </si>
  <si>
    <t xml:space="preserve">Verify Inspiration Dropdown</t>
  </si>
  <si>
    <t xml:space="preserve">TC-004</t>
  </si>
  <si>
    <t xml:space="preserve">Validation</t>
  </si>
  <si>
    <t xml:space="preserve">Verify Mandatory Fields</t>
  </si>
  <si>
    <t xml:space="preserve">TC-005</t>
  </si>
  <si>
    <t xml:space="preserve">Security</t>
  </si>
  <si>
    <t xml:space="preserve">Verify Name &amp; Address XSS/SQLi</t>
  </si>
  <si>
    <t xml:space="preserve">TC-006</t>
  </si>
  <si>
    <t xml:space="preserve">Boundary</t>
  </si>
  <si>
    <t xml:space="preserve">Verify Max Length Bounds</t>
  </si>
  <si>
    <t xml:space="preserve">TC-007</t>
  </si>
  <si>
    <t xml:space="preserve">Verify PAN Format Rules</t>
  </si>
  <si>
    <t xml:space="preserve">88.9%</t>
  </si>
  <si>
    <t xml:space="preserve">FAIL</t>
  </si>
  <si>
    <t xml:space="preserve">TC-008</t>
  </si>
  <si>
    <t xml:space="preserve">Verify Email Format Rules</t>
  </si>
  <si>
    <t xml:space="preserve">83.3%</t>
  </si>
  <si>
    <t xml:space="preserve">TC-009</t>
  </si>
  <si>
    <t xml:space="preserve">Verify Mobile Format Rules</t>
  </si>
  <si>
    <t xml:space="preserve">50.0%</t>
  </si>
  <si>
    <t xml:space="preserve">TC-010</t>
  </si>
  <si>
    <t xml:space="preserve">Amount</t>
  </si>
  <si>
    <t xml:space="preserve">Verify Custom Amount Selection</t>
  </si>
  <si>
    <t xml:space="preserve">94.4%</t>
  </si>
  <si>
    <t xml:space="preserve">TOTAL</t>
  </si>
  <si>
    <t xml:space="preserve">—</t>
  </si>
  <si>
    <t xml:space="preserve">KEY FINDINGS &amp; RISKS</t>
  </si>
  <si>
    <t xml:space="preserve">⚠  High reliance on 'novalidate' form attribute without adequate custom JS validation fallback.</t>
  </si>
  <si>
    <t xml:space="preserve">⚠  Missing front-end data sanitization on Mobile and Email fields.</t>
  </si>
  <si>
    <t xml:space="preserve">⚠  Custom amount field lacks numerical boundaries, risking payment gateway failure.</t>
  </si>
  <si>
    <t xml:space="preserve">RECOMMENDATION</t>
  </si>
  <si>
    <t xml:space="preserve">🚫  DO NOT push to production until the 6 identified validation defects are patched in the front-end JavaScript.  All 4 failing test cases (TC-007, TC-008, TC-009, TC-010) must reach 100% pass rate before release sign-off.</t>
  </si>
  <si>
    <t xml:space="preserve">TEST CASE REGISTER — DONATE MODULE</t>
  </si>
  <si>
    <t xml:space="preserve">Module: Donate Module  |  Framework: Pytest 8.2.0  |  Date: 2026-02-24  |  Total TCs: 10</t>
  </si>
  <si>
    <t xml:space="preserve">Test Type</t>
  </si>
  <si>
    <t xml:space="preserve">Pass %</t>
  </si>
  <si>
    <t xml:space="preserve">Overall Status</t>
  </si>
  <si>
    <t xml:space="preserve">Priority</t>
  </si>
  <si>
    <t xml:space="preserve">Remarks</t>
  </si>
  <si>
    <t xml:space="preserve">UI/Smoke</t>
  </si>
  <si>
    <t xml:space="preserve">High</t>
  </si>
  <si>
    <t xml:space="preserve">All UI elements render correctly</t>
  </si>
  <si>
    <t xml:space="preserve">Verify valid donation submissions</t>
  </si>
  <si>
    <t xml:space="preserve">Functional</t>
  </si>
  <si>
    <t xml:space="preserve">Critical</t>
  </si>
  <si>
    <t xml:space="preserve">End-to-end happy path validated</t>
  </si>
  <si>
    <t xml:space="preserve">Verify Inspiration Dropdown behaviour</t>
  </si>
  <si>
    <t xml:space="preserve">Medium</t>
  </si>
  <si>
    <t xml:space="preserve">All dropdown options verified</t>
  </si>
  <si>
    <t xml:space="preserve">Verify Mandatory Fields enforcement</t>
  </si>
  <si>
    <t xml:space="preserve">Required field validations working</t>
  </si>
  <si>
    <t xml:space="preserve">Verify Name &amp; Address XSS/SQLi resistance</t>
  </si>
  <si>
    <t xml:space="preserve">No injection vulnerability found</t>
  </si>
  <si>
    <t xml:space="preserve">Verify Max Length field boundaries</t>
  </si>
  <si>
    <t xml:space="preserve">Max-length constraints respected</t>
  </si>
  <si>
    <t xml:space="preserve">Verify PAN format rules</t>
  </si>
  <si>
    <t xml:space="preserve">Lowercase PAN not rejected (DEF-004)</t>
  </si>
  <si>
    <t xml:space="preserve">Verify Email format rules</t>
  </si>
  <si>
    <t xml:space="preserve">Missing TLD not caught (DEF-005)</t>
  </si>
  <si>
    <t xml:space="preserve">Verify Mobile number format rules</t>
  </si>
  <si>
    <t xml:space="preserve">3 mobile formats accepted incorrectly</t>
  </si>
  <si>
    <t xml:space="preserve">Verify Custom Amount selection &amp; bounds</t>
  </si>
  <si>
    <t xml:space="preserve">Overflow amount not blocked (DEF-006)</t>
  </si>
  <si>
    <t xml:space="preserve">DEFECT LOG — DONATE MODULE</t>
  </si>
  <si>
    <t xml:space="preserve">Total Defects: 6  |  High/Critical: 3  |  Medium: 3  |  Status: All Open – Awaiting Fix</t>
  </si>
  <si>
    <t xml:space="preserve">Defect ID</t>
  </si>
  <si>
    <t xml:space="preserve">Associated TC</t>
  </si>
  <si>
    <t xml:space="preserve">Bug Description</t>
  </si>
  <si>
    <t xml:space="preserve">Steps to Reproduce</t>
  </si>
  <si>
    <t xml:space="preserve">Expected Result</t>
  </si>
  <si>
    <t xml:space="preserve">Actual Result (Pytest Output)</t>
  </si>
  <si>
    <t xml:space="preserve">Severity</t>
  </si>
  <si>
    <t xml:space="preserve">Owner</t>
  </si>
  <si>
    <t xml:space="preserve">DEF-001</t>
  </si>
  <si>
    <t xml:space="preserve">Mobile Validation</t>
  </si>
  <si>
    <t xml:space="preserve">Mobile field accepts extra formatting characters</t>
  </si>
  <si>
    <t xml:space="preserve">1. Enter +91-98765-43210-extra
2. Click Proceed</t>
  </si>
  <si>
    <t xml:space="preserve">JS validation blocks input and shows error.</t>
  </si>
  <si>
    <t xml:space="preserve">BUG: No error shown for invalid mobile '+91-98765-43210-extra'</t>
  </si>
  <si>
    <t xml:space="preserve">Open</t>
  </si>
  <si>
    <t xml:space="preserve">Front-End Dev</t>
  </si>
  <si>
    <t xml:space="preserve">DEF-002</t>
  </si>
  <si>
    <t xml:space="preserve">Mobile field accepts strings under 10 digits</t>
  </si>
  <si>
    <t xml:space="preserve">1. Enter 12345
2. Click Proceed</t>
  </si>
  <si>
    <t xml:space="preserve">JS validation blocks short digit strings.</t>
  </si>
  <si>
    <t xml:space="preserve">BUG: No error shown for invalid mobile '12345'</t>
  </si>
  <si>
    <t xml:space="preserve">DEF-003</t>
  </si>
  <si>
    <t xml:space="preserve">Mobile field accepts alphabetic strings</t>
  </si>
  <si>
    <t xml:space="preserve">1. Enter abcdefghij
2. Click Proceed</t>
  </si>
  <si>
    <t xml:space="preserve">JS validation blocks non-numeric characters.</t>
  </si>
  <si>
    <t xml:space="preserve">BUG: No error shown for invalid mobile 'abcdefghij'</t>
  </si>
  <si>
    <t xml:space="preserve">DEF-004</t>
  </si>
  <si>
    <t xml:space="preserve">PAN Validation</t>
  </si>
  <si>
    <t xml:space="preserve">PAN field does not enforce uppercase validation</t>
  </si>
  <si>
    <t xml:space="preserve">1. Enter lowercase PAN abcps1234d
2. Click Proceed</t>
  </si>
  <si>
    <t xml:space="preserve">Form displays error or transforms to uppercase on submit.</t>
  </si>
  <si>
    <t xml:space="preserve">BUG [Lowercase]: No error shown for invalid PAN 'abcps1234d'</t>
  </si>
  <si>
    <t xml:space="preserve">DEF-005</t>
  </si>
  <si>
    <t xml:space="preserve">Email Validation</t>
  </si>
  <si>
    <t xml:space="preserve">Email field accepts strings without Top Level Domains</t>
  </si>
  <si>
    <t xml:space="preserve">1. Enter missing@domain into Email field
2. Click Proceed</t>
  </si>
  <si>
    <t xml:space="preserve">novalidate requires JS to catch missing TLDs; form blocks submission.</t>
  </si>
  <si>
    <t xml:space="preserve">BUG: No error shown for invalid email 'missing@domain'</t>
  </si>
  <si>
    <t xml:space="preserve">DEF-006</t>
  </si>
  <si>
    <t xml:space="preserve">Amount Validation</t>
  </si>
  <si>
    <t xml:space="preserve">Custom amount field lacks character boundary / integer overflow limit</t>
  </si>
  <si>
    <t xml:space="preserve">1. Click 'Other' amount tab
2. Enter 999999999999999999
3. Click Proceed</t>
  </si>
  <si>
    <t xml:space="preserve">JS validates and blocks integer overflow amounts.</t>
  </si>
  <si>
    <t xml:space="preserve">BUG: No validation error shown for invalid amount '99999999999999999999'</t>
  </si>
  <si>
    <t xml:space="preserve">QA DASHBOARD — LIVE METRICS</t>
  </si>
  <si>
    <t xml:space="preserve">Metric</t>
  </si>
  <si>
    <t xml:space="preserve">Count</t>
  </si>
  <si>
    <t xml:space="preserve">Passed Sub-Tests</t>
  </si>
  <si>
    <t xml:space="preserve">Failed Sub-Tests</t>
  </si>
  <si>
    <t xml:space="preserve">Overall Pass Rate</t>
  </si>
  <si>
    <t xml:space="preserve">Total Defects</t>
  </si>
  <si>
    <t xml:space="preserve">High Severity</t>
  </si>
  <si>
    <t xml:space="preserve">Medium Severity</t>
  </si>
  <si>
    <t xml:space="preserve">Defect Density</t>
  </si>
  <si>
    <t xml:space="preserve">Release Decision</t>
  </si>
  <si>
    <t xml:space="preserve">Retest Required</t>
  </si>
  <si>
    <t xml:space="preserve">Sign-off Status</t>
  </si>
  <si>
    <t xml:space="preserve">8.1%</t>
  </si>
  <si>
    <t xml:space="preserve">BLOCK</t>
  </si>
  <si>
    <t xml:space="preserve">YES</t>
  </si>
  <si>
    <t xml:space="preserve">PENDING</t>
  </si>
  <si>
    <t xml:space="preserve">PRODUCTION RELEASE QA GATE CHECKLIST</t>
  </si>
  <si>
    <t xml:space="preserve">Release Gate Status: ❌ BLOCKED — Resolve all FAIL items before go-live</t>
  </si>
  <si>
    <t xml:space="preserve">#</t>
  </si>
  <si>
    <t xml:space="preserve">Gate Criterion</t>
  </si>
  <si>
    <t xml:space="preserve">Target Date</t>
  </si>
  <si>
    <t xml:space="preserve">Notes</t>
  </si>
  <si>
    <t xml:space="preserve">All Test Cases executed with documented results</t>
  </si>
  <si>
    <t xml:space="preserve">QA Lead</t>
  </si>
  <si>
    <t xml:space="preserve">2026-02-25</t>
  </si>
  <si>
    <t xml:space="preserve">✅ PASS</t>
  </si>
  <si>
    <t xml:space="preserve">10/10 TCs executed</t>
  </si>
  <si>
    <t xml:space="preserve">All PASS test cases re-verified</t>
  </si>
  <si>
    <t xml:space="preserve">TC-001 to TC-006 pass 100%</t>
  </si>
  <si>
    <t xml:space="preserve">Defect DEF-003 (Mobile Alpha) — High patched &amp; retested</t>
  </si>
  <si>
    <t xml:space="preserve">Dev + QA</t>
  </si>
  <si>
    <t xml:space="preserve">2026-02-26</t>
  </si>
  <si>
    <t xml:space="preserve">❌ OPEN</t>
  </si>
  <si>
    <t xml:space="preserve">Awaiting front-end fix</t>
  </si>
  <si>
    <t xml:space="preserve">Defect DEF-005 (Email TLD) — High patched &amp; retested</t>
  </si>
  <si>
    <t xml:space="preserve">JS regex update required</t>
  </si>
  <si>
    <t xml:space="preserve">Defect DEF-006 (Amount Overflow) — High patched &amp; retested</t>
  </si>
  <si>
    <t xml:space="preserve">Max-length / boundary check missing</t>
  </si>
  <si>
    <t xml:space="preserve">Defect DEF-001 (Mobile Extra Chars) — Medium patched</t>
  </si>
  <si>
    <t xml:space="preserve">2026-02-27</t>
  </si>
  <si>
    <t xml:space="preserve">Defect DEF-002 (Mobile Short) — Medium patched</t>
  </si>
  <si>
    <t xml:space="preserve">Defect DEF-004 (PAN Lowercase) — Medium patched</t>
  </si>
  <si>
    <t xml:space="preserve">Regex uppercase enforcement needed</t>
  </si>
  <si>
    <t xml:space="preserve">Regression test suite executed after all patches</t>
  </si>
  <si>
    <t xml:space="preserve">2026-02-28</t>
  </si>
  <si>
    <t xml:space="preserve">⏳ PENDING</t>
  </si>
  <si>
    <t xml:space="preserve">Blocked by open defects</t>
  </si>
  <si>
    <t xml:space="preserve">Security review sign-off (XSS/SQLi)</t>
  </si>
  <si>
    <t xml:space="preserve">TC-005 full pass</t>
  </si>
  <si>
    <t xml:space="preserve">Stakeholder QA sign-off received</t>
  </si>
  <si>
    <t xml:space="preserve">PM / QA Lead</t>
  </si>
  <si>
    <t xml:space="preserve">TBD</t>
  </si>
  <si>
    <t xml:space="preserve">Awaiting defect resolution</t>
  </si>
  <si>
    <t xml:space="preserve">Production deployment approval</t>
  </si>
  <si>
    <t xml:space="preserve">Release Mgr</t>
  </si>
  <si>
    <t xml:space="preserve">❌ BLOCKED</t>
  </si>
  <si>
    <t xml:space="preserve">Cannot approve with open High defects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</si>
</sst>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FFFFF"/>
      <name val="Arial"/>
      <family val="0"/>
      <charset val="1"/>
    </font>
    <font>
      <sz val="11"/>
      <color rgb="FFA9C8E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D1B2A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color rgb="FF7B241C"/>
      <name val="Arial"/>
      <family val="0"/>
      <charset val="1"/>
    </font>
    <font>
      <b val="true"/>
      <sz val="10"/>
      <color rgb="FF784212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sz val="10"/>
      <color rgb="FFA9C8E8"/>
      <name val="Arial"/>
      <family val="0"/>
      <charset val="1"/>
    </font>
    <font>
      <sz val="10"/>
      <color rgb="FFFAD7A0"/>
      <name val="Arial"/>
      <family val="0"/>
      <charset val="1"/>
    </font>
    <font>
      <b val="true"/>
      <sz val="10"/>
      <color rgb="FF0D1B2A"/>
      <name val="Arial"/>
      <family val="0"/>
      <charset val="1"/>
    </font>
    <font>
      <b val="true"/>
      <sz val="10"/>
      <color rgb="FFE74C3C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20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5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0D1B2A"/>
        <bgColor rgb="FF000000"/>
      </patternFill>
    </fill>
    <fill>
      <patternFill patternType="solid">
        <fgColor rgb="FF1A3A5C"/>
        <bgColor rgb="FF333333"/>
      </patternFill>
    </fill>
    <fill>
      <patternFill patternType="solid">
        <fgColor rgb="FFEAF2FB"/>
        <bgColor rgb="FFF4F6F9"/>
      </patternFill>
    </fill>
    <fill>
      <patternFill patternType="solid">
        <fgColor rgb="FF2E86AB"/>
        <bgColor rgb="FF4F81BD"/>
      </patternFill>
    </fill>
    <fill>
      <patternFill patternType="solid">
        <fgColor rgb="FF27AE60"/>
        <bgColor rgb="FF2E86AB"/>
      </patternFill>
    </fill>
    <fill>
      <patternFill patternType="solid">
        <fgColor rgb="FFE74C3C"/>
        <bgColor rgb="FFFF8080"/>
      </patternFill>
    </fill>
    <fill>
      <patternFill patternType="solid">
        <fgColor rgb="FFF39C12"/>
        <bgColor rgb="FFFFCC00"/>
      </patternFill>
    </fill>
    <fill>
      <patternFill patternType="solid">
        <fgColor rgb="FFF4F6F9"/>
        <bgColor rgb="FFF9F9F9"/>
      </patternFill>
    </fill>
    <fill>
      <patternFill patternType="solid">
        <fgColor rgb="FFFFFFFF"/>
        <bgColor rgb="FFF9F9F9"/>
      </patternFill>
    </fill>
    <fill>
      <patternFill patternType="solid">
        <fgColor rgb="FFFDEDEC"/>
        <bgColor rgb="FFFEF9E7"/>
      </patternFill>
    </fill>
    <fill>
      <patternFill patternType="solid">
        <fgColor rgb="FFFEF9E7"/>
        <bgColor rgb="FFF9F9F9"/>
      </patternFill>
    </fill>
    <fill>
      <patternFill patternType="solid">
        <fgColor rgb="FF8E1A0E"/>
        <bgColor rgb="FF7B241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C8D6E5"/>
      </left>
      <right style="thin">
        <color rgb="FFC8D6E5"/>
      </right>
      <top style="thin">
        <color rgb="FFC8D6E5"/>
      </top>
      <bottom style="thin">
        <color rgb="FFC8D6E5"/>
      </bottom>
      <diagonal/>
    </border>
    <border diagonalUp="false" diagonalDown="false">
      <left style="thin">
        <color rgb="FFC8D6E5"/>
      </left>
      <right/>
      <top style="thin">
        <color rgb="FFC8D6E5"/>
      </top>
      <bottom style="thin">
        <color rgb="FFC8D6E5"/>
      </bottom>
      <diagonal/>
    </border>
    <border diagonalUp="false" diagonalDown="false">
      <left style="thin">
        <color rgb="FFC8D6E5"/>
      </left>
      <right/>
      <top style="thin">
        <color rgb="FFC8D6E5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241C"/>
      <rgbColor rgb="FF008000"/>
      <rgbColor rgb="FF000080"/>
      <rgbColor rgb="FF808000"/>
      <rgbColor rgb="FF800080"/>
      <rgbColor rgb="FF2E86AB"/>
      <rgbColor rgb="FFD9D9D9"/>
      <rgbColor rgb="FF878787"/>
      <rgbColor rgb="FF9999FF"/>
      <rgbColor rgb="FF784212"/>
      <rgbColor rgb="FFFEF9E7"/>
      <rgbColor rgb="FFEAF2FB"/>
      <rgbColor rgb="FF660066"/>
      <rgbColor rgb="FFFF8080"/>
      <rgbColor rgb="FF0066CC"/>
      <rgbColor rgb="FFC8D6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6F9"/>
      <rgbColor rgb="FFF9F9F9"/>
      <rgbColor rgb="FFFDEDEC"/>
      <rgbColor rgb="FFA9C8E8"/>
      <rgbColor rgb="FFFF99CC"/>
      <rgbColor rgb="FFCC99FF"/>
      <rgbColor rgb="FFFAD7A0"/>
      <rgbColor rgb="FF3366FF"/>
      <rgbColor rgb="FF33CCCC"/>
      <rgbColor rgb="FF99CC00"/>
      <rgbColor rgb="FFFFCC00"/>
      <rgbColor rgb="FFF39C12"/>
      <rgbColor rgb="FFE74C3C"/>
      <rgbColor rgb="FF4F81BD"/>
      <rgbColor rgb="FF969696"/>
      <rgbColor rgb="FF1A3A5C"/>
      <rgbColor rgb="FF27AE60"/>
      <rgbColor rgb="FF0D1B2A"/>
      <rgbColor rgb="FF333300"/>
      <rgbColor rgb="FF8E1A0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Test Execution Results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'📈 Dashboard'!L23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27ae60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e74c3c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'📈 Dashboard'!$K$24:$K$25</c:f>
              <c:strCache>
                <c:ptCount val="2"/>
                <c:pt idx="0">
                  <c:v>Passed</c:v>
                </c:pt>
                <c:pt idx="1">
                  <c:v/>
                </c:pt>
              </c:strCache>
            </c:strRef>
          </c:cat>
          <c:val>
            <c:numRef>
              <c:f>'📈 Dashboard'!$L$24:$L$25</c:f>
              <c:numCache>
                <c:formatCode>General</c:formatCode>
                <c:ptCount val="2"/>
                <c:pt idx="0">
                  <c:v>68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Defects by Severity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'📈 Dashboard'!L27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Dashboard'!$K$28:$K$29</c:f>
              <c:strCache>
                <c:ptCount val="2"/>
                <c:pt idx="0">
                  <c:v>High</c:v>
                </c:pt>
                <c:pt idx="1">
                  <c:v/>
                </c:pt>
              </c:strCache>
            </c:strRef>
          </c:cat>
          <c:val>
            <c:numRef>
              <c:f>'📈 Dashboard'!$L$28:$L$29</c:f>
              <c:numCache>
                <c:formatCode>General</c:formatCode>
                <c:ptCount val="2"/>
                <c:pt idx="0">
                  <c:v>3</c:v>
                </c:pt>
              </c:numCache>
            </c:numRef>
          </c:val>
        </c:ser>
        <c:gapWidth val="150"/>
        <c:overlap val="0"/>
        <c:axId val="35173173"/>
        <c:axId val="32246007"/>
      </c:barChart>
      <c:catAx>
        <c:axId val="3517317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246007"/>
        <c:crosses val="autoZero"/>
        <c:auto val="1"/>
        <c:lblAlgn val="ctr"/>
        <c:lblOffset val="100"/>
        <c:noMultiLvlLbl val="0"/>
      </c:catAx>
      <c:valAx>
        <c:axId val="3224600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17317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0</xdr:rowOff>
    </xdr:from>
    <xdr:to>
      <xdr:col>6</xdr:col>
      <xdr:colOff>387720</xdr:colOff>
      <xdr:row>20</xdr:row>
      <xdr:rowOff>170640</xdr:rowOff>
    </xdr:to>
    <xdr:graphicFrame>
      <xdr:nvGraphicFramePr>
        <xdr:cNvPr id="0" name="Chart 1"/>
        <xdr:cNvGraphicFramePr/>
      </xdr:nvGraphicFramePr>
      <xdr:xfrm>
        <a:off x="0" y="743040"/>
        <a:ext cx="50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</xdr:row>
      <xdr:rowOff>0</xdr:rowOff>
    </xdr:from>
    <xdr:to>
      <xdr:col>13</xdr:col>
      <xdr:colOff>551520</xdr:colOff>
      <xdr:row>20</xdr:row>
      <xdr:rowOff>170640</xdr:rowOff>
    </xdr:to>
    <xdr:graphicFrame>
      <xdr:nvGraphicFramePr>
        <xdr:cNvPr id="1" name="Chart 2"/>
        <xdr:cNvGraphicFramePr/>
      </xdr:nvGraphicFramePr>
      <xdr:xfrm>
        <a:off x="5427360" y="743040"/>
        <a:ext cx="50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1B2A"/>
    <pageSetUpPr fitToPage="false"/>
  </sheetPr>
  <dimension ref="A1:H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36"/>
    <col collapsed="false" customWidth="true" hidden="false" outlineLevel="0" max="4" min="4" style="0" width="14"/>
    <col collapsed="false" customWidth="true" hidden="false" outlineLevel="0" max="6" min="5" style="0" width="10"/>
    <col collapsed="false" customWidth="true" hidden="false" outlineLevel="0" max="8" min="7" style="0" width="12"/>
  </cols>
  <sheetData>
    <row r="1" customFormat="false" ht="48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4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9.75" hidden="false" customHeight="true" outlineLevel="0" collapsed="false"/>
    <row r="4" customFormat="false" ht="19.5" hidden="false" customHeight="true" outlineLevel="0" collapsed="false">
      <c r="A4" s="3" t="s">
        <v>2</v>
      </c>
      <c r="B4" s="3"/>
      <c r="C4" s="3"/>
      <c r="D4" s="4" t="s">
        <v>3</v>
      </c>
      <c r="E4" s="4"/>
      <c r="F4" s="4"/>
      <c r="G4" s="4"/>
      <c r="H4" s="4"/>
    </row>
    <row r="5" customFormat="false" ht="19.5" hidden="false" customHeight="true" outlineLevel="0" collapsed="false">
      <c r="A5" s="3" t="s">
        <v>4</v>
      </c>
      <c r="B5" s="3"/>
      <c r="C5" s="3"/>
      <c r="D5" s="4" t="s">
        <v>5</v>
      </c>
      <c r="E5" s="4"/>
      <c r="F5" s="4"/>
      <c r="G5" s="4"/>
      <c r="H5" s="4"/>
    </row>
    <row r="6" customFormat="false" ht="19.5" hidden="false" customHeight="true" outlineLevel="0" collapsed="false">
      <c r="A6" s="3" t="s">
        <v>6</v>
      </c>
      <c r="B6" s="3"/>
      <c r="C6" s="3"/>
      <c r="D6" s="4" t="s">
        <v>7</v>
      </c>
      <c r="E6" s="4"/>
      <c r="F6" s="4"/>
      <c r="G6" s="4"/>
      <c r="H6" s="4"/>
    </row>
    <row r="7" customFormat="false" ht="19.5" hidden="false" customHeight="true" outlineLevel="0" collapsed="false">
      <c r="A7" s="3" t="s">
        <v>8</v>
      </c>
      <c r="B7" s="3"/>
      <c r="C7" s="3"/>
      <c r="D7" s="4" t="s">
        <v>9</v>
      </c>
      <c r="E7" s="4"/>
      <c r="F7" s="4"/>
      <c r="G7" s="4"/>
      <c r="H7" s="4"/>
    </row>
    <row r="8" customFormat="false" ht="19.5" hidden="false" customHeight="true" outlineLevel="0" collapsed="false">
      <c r="A8" s="3" t="s">
        <v>10</v>
      </c>
      <c r="B8" s="3"/>
      <c r="C8" s="3"/>
      <c r="D8" s="4" t="s">
        <v>11</v>
      </c>
      <c r="E8" s="4"/>
      <c r="F8" s="4"/>
      <c r="G8" s="4"/>
      <c r="H8" s="4"/>
    </row>
    <row r="9" customFormat="false" ht="19.5" hidden="false" customHeight="true" outlineLevel="0" collapsed="false">
      <c r="A9" s="3" t="s">
        <v>12</v>
      </c>
      <c r="B9" s="3"/>
      <c r="C9" s="3"/>
      <c r="D9" s="4" t="s">
        <v>13</v>
      </c>
      <c r="E9" s="4"/>
      <c r="F9" s="4"/>
      <c r="G9" s="4"/>
      <c r="H9" s="4"/>
    </row>
    <row r="10" customFormat="false" ht="12" hidden="false" customHeight="true" outlineLevel="0" collapsed="false"/>
    <row r="11" customFormat="false" ht="18" hidden="false" customHeight="true" outlineLevel="0" collapsed="false">
      <c r="A11" s="5" t="s">
        <v>14</v>
      </c>
      <c r="B11" s="5"/>
      <c r="C11" s="6" t="s">
        <v>15</v>
      </c>
      <c r="D11" s="6"/>
      <c r="E11" s="7" t="s">
        <v>16</v>
      </c>
      <c r="F11" s="7"/>
    </row>
    <row r="12" customFormat="false" ht="36" hidden="false" customHeight="true" outlineLevel="0" collapsed="false">
      <c r="A12" s="8" t="s">
        <v>17</v>
      </c>
      <c r="B12" s="8"/>
      <c r="C12" s="9" t="s">
        <v>18</v>
      </c>
      <c r="D12" s="9"/>
      <c r="E12" s="10" t="s">
        <v>19</v>
      </c>
      <c r="F12" s="10"/>
    </row>
    <row r="13" customFormat="false" ht="18" hidden="false" customHeight="true" outlineLevel="0" collapsed="false">
      <c r="A13" s="5" t="s">
        <v>20</v>
      </c>
      <c r="B13" s="5"/>
      <c r="C13" s="11" t="s">
        <v>21</v>
      </c>
      <c r="D13" s="11"/>
      <c r="E13" s="7" t="s">
        <v>22</v>
      </c>
      <c r="F13" s="7"/>
    </row>
    <row r="14" customFormat="false" ht="36" hidden="false" customHeight="true" outlineLevel="0" collapsed="false">
      <c r="A14" s="8" t="s">
        <v>23</v>
      </c>
      <c r="B14" s="8"/>
      <c r="C14" s="12" t="s">
        <v>19</v>
      </c>
      <c r="D14" s="12"/>
      <c r="E14" s="10" t="s">
        <v>24</v>
      </c>
      <c r="F14" s="10"/>
    </row>
    <row r="15" customFormat="false" ht="12" hidden="false" customHeight="true" outlineLevel="0" collapsed="false"/>
    <row r="16" customFormat="false" ht="25.5" hidden="false" customHeight="true" outlineLevel="0" collapsed="false">
      <c r="A16" s="13" t="s">
        <v>25</v>
      </c>
      <c r="B16" s="13"/>
      <c r="C16" s="13"/>
      <c r="D16" s="13"/>
      <c r="E16" s="13"/>
      <c r="F16" s="13"/>
      <c r="G16" s="13"/>
      <c r="H16" s="13"/>
    </row>
    <row r="17" customFormat="false" ht="21.75" hidden="false" customHeight="true" outlineLevel="0" collapsed="false">
      <c r="A17" s="14" t="s">
        <v>26</v>
      </c>
      <c r="B17" s="14" t="s">
        <v>27</v>
      </c>
      <c r="C17" s="14" t="s">
        <v>28</v>
      </c>
      <c r="D17" s="14" t="s">
        <v>29</v>
      </c>
      <c r="E17" s="14" t="s">
        <v>30</v>
      </c>
      <c r="F17" s="14" t="s">
        <v>31</v>
      </c>
      <c r="G17" s="14" t="s">
        <v>20</v>
      </c>
      <c r="H17" s="14" t="s">
        <v>32</v>
      </c>
    </row>
    <row r="18" customFormat="false" ht="19.5" hidden="false" customHeight="true" outlineLevel="0" collapsed="false">
      <c r="A18" s="15" t="s">
        <v>33</v>
      </c>
      <c r="B18" s="15" t="s">
        <v>34</v>
      </c>
      <c r="C18" s="15" t="s">
        <v>35</v>
      </c>
      <c r="D18" s="15" t="n">
        <v>5</v>
      </c>
      <c r="E18" s="15" t="n">
        <v>5</v>
      </c>
      <c r="F18" s="15" t="n">
        <v>0</v>
      </c>
      <c r="G18" s="15" t="s">
        <v>36</v>
      </c>
      <c r="H18" s="16" t="s">
        <v>37</v>
      </c>
    </row>
    <row r="19" customFormat="false" ht="19.5" hidden="false" customHeight="true" outlineLevel="0" collapsed="false">
      <c r="A19" s="17" t="s">
        <v>38</v>
      </c>
      <c r="B19" s="17" t="s">
        <v>39</v>
      </c>
      <c r="C19" s="17" t="s">
        <v>40</v>
      </c>
      <c r="D19" s="17" t="n">
        <v>8</v>
      </c>
      <c r="E19" s="17" t="n">
        <v>8</v>
      </c>
      <c r="F19" s="17" t="n">
        <v>0</v>
      </c>
      <c r="G19" s="17" t="s">
        <v>36</v>
      </c>
      <c r="H19" s="16" t="s">
        <v>37</v>
      </c>
    </row>
    <row r="20" customFormat="false" ht="19.5" hidden="false" customHeight="true" outlineLevel="0" collapsed="false">
      <c r="A20" s="15" t="s">
        <v>41</v>
      </c>
      <c r="B20" s="15" t="s">
        <v>42</v>
      </c>
      <c r="C20" s="15" t="s">
        <v>43</v>
      </c>
      <c r="D20" s="15" t="n">
        <v>7</v>
      </c>
      <c r="E20" s="15" t="n">
        <v>7</v>
      </c>
      <c r="F20" s="15" t="n">
        <v>0</v>
      </c>
      <c r="G20" s="15" t="s">
        <v>36</v>
      </c>
      <c r="H20" s="16" t="s">
        <v>37</v>
      </c>
    </row>
    <row r="21" customFormat="false" ht="19.5" hidden="false" customHeight="true" outlineLevel="0" collapsed="false">
      <c r="A21" s="17" t="s">
        <v>44</v>
      </c>
      <c r="B21" s="17" t="s">
        <v>45</v>
      </c>
      <c r="C21" s="17" t="s">
        <v>46</v>
      </c>
      <c r="D21" s="17" t="n">
        <v>5</v>
      </c>
      <c r="E21" s="17" t="n">
        <v>5</v>
      </c>
      <c r="F21" s="17" t="n">
        <v>0</v>
      </c>
      <c r="G21" s="17" t="s">
        <v>36</v>
      </c>
      <c r="H21" s="16" t="s">
        <v>37</v>
      </c>
    </row>
    <row r="22" customFormat="false" ht="19.5" hidden="false" customHeight="true" outlineLevel="0" collapsed="false">
      <c r="A22" s="15" t="s">
        <v>47</v>
      </c>
      <c r="B22" s="15" t="s">
        <v>48</v>
      </c>
      <c r="C22" s="15" t="s">
        <v>49</v>
      </c>
      <c r="D22" s="15" t="n">
        <v>6</v>
      </c>
      <c r="E22" s="15" t="n">
        <v>6</v>
      </c>
      <c r="F22" s="15" t="n">
        <v>0</v>
      </c>
      <c r="G22" s="15" t="s">
        <v>36</v>
      </c>
      <c r="H22" s="16" t="s">
        <v>37</v>
      </c>
    </row>
    <row r="23" customFormat="false" ht="19.5" hidden="false" customHeight="true" outlineLevel="0" collapsed="false">
      <c r="A23" s="17" t="s">
        <v>50</v>
      </c>
      <c r="B23" s="17" t="s">
        <v>51</v>
      </c>
      <c r="C23" s="17" t="s">
        <v>52</v>
      </c>
      <c r="D23" s="17" t="n">
        <v>4</v>
      </c>
      <c r="E23" s="17" t="n">
        <v>4</v>
      </c>
      <c r="F23" s="17" t="n">
        <v>0</v>
      </c>
      <c r="G23" s="17" t="s">
        <v>36</v>
      </c>
      <c r="H23" s="16" t="s">
        <v>37</v>
      </c>
    </row>
    <row r="24" customFormat="false" ht="19.5" hidden="false" customHeight="true" outlineLevel="0" collapsed="false">
      <c r="A24" s="15" t="s">
        <v>53</v>
      </c>
      <c r="B24" s="15" t="s">
        <v>45</v>
      </c>
      <c r="C24" s="15" t="s">
        <v>54</v>
      </c>
      <c r="D24" s="15" t="n">
        <v>9</v>
      </c>
      <c r="E24" s="15" t="n">
        <v>8</v>
      </c>
      <c r="F24" s="15" t="n">
        <v>1</v>
      </c>
      <c r="G24" s="15" t="s">
        <v>55</v>
      </c>
      <c r="H24" s="18" t="s">
        <v>56</v>
      </c>
    </row>
    <row r="25" customFormat="false" ht="19.5" hidden="false" customHeight="true" outlineLevel="0" collapsed="false">
      <c r="A25" s="17" t="s">
        <v>57</v>
      </c>
      <c r="B25" s="17" t="s">
        <v>45</v>
      </c>
      <c r="C25" s="17" t="s">
        <v>58</v>
      </c>
      <c r="D25" s="17" t="n">
        <v>6</v>
      </c>
      <c r="E25" s="17" t="n">
        <v>5</v>
      </c>
      <c r="F25" s="17" t="n">
        <v>1</v>
      </c>
      <c r="G25" s="17" t="s">
        <v>59</v>
      </c>
      <c r="H25" s="18" t="s">
        <v>56</v>
      </c>
    </row>
    <row r="26" customFormat="false" ht="19.5" hidden="false" customHeight="true" outlineLevel="0" collapsed="false">
      <c r="A26" s="15" t="s">
        <v>60</v>
      </c>
      <c r="B26" s="15" t="s">
        <v>45</v>
      </c>
      <c r="C26" s="15" t="s">
        <v>61</v>
      </c>
      <c r="D26" s="15" t="n">
        <v>6</v>
      </c>
      <c r="E26" s="15" t="n">
        <v>3</v>
      </c>
      <c r="F26" s="15" t="n">
        <v>3</v>
      </c>
      <c r="G26" s="15" t="s">
        <v>62</v>
      </c>
      <c r="H26" s="18" t="s">
        <v>56</v>
      </c>
    </row>
    <row r="27" customFormat="false" ht="19.5" hidden="false" customHeight="true" outlineLevel="0" collapsed="false">
      <c r="A27" s="17" t="s">
        <v>63</v>
      </c>
      <c r="B27" s="17" t="s">
        <v>64</v>
      </c>
      <c r="C27" s="17" t="s">
        <v>65</v>
      </c>
      <c r="D27" s="17" t="n">
        <v>18</v>
      </c>
      <c r="E27" s="17" t="n">
        <v>17</v>
      </c>
      <c r="F27" s="17" t="n">
        <v>1</v>
      </c>
      <c r="G27" s="17" t="s">
        <v>66</v>
      </c>
      <c r="H27" s="18" t="s">
        <v>56</v>
      </c>
    </row>
    <row r="28" customFormat="false" ht="19.5" hidden="false" customHeight="true" outlineLevel="0" collapsed="false">
      <c r="A28" s="19" t="s">
        <v>67</v>
      </c>
      <c r="B28" s="19" t="s">
        <v>68</v>
      </c>
      <c r="C28" s="19" t="s">
        <v>68</v>
      </c>
      <c r="D28" s="19" t="n">
        <f aca="false">SUM(D18:D27)</f>
        <v>74</v>
      </c>
      <c r="E28" s="19" t="n">
        <f aca="false">SUM(E18:E27)</f>
        <v>68</v>
      </c>
      <c r="F28" s="19" t="n">
        <f aca="false">SUM(F18:F27)</f>
        <v>6</v>
      </c>
      <c r="G28" s="19" t="n">
        <f aca="false">E28/D28</f>
        <v>0.918918918918919</v>
      </c>
      <c r="H28" s="19" t="s">
        <v>68</v>
      </c>
    </row>
    <row r="29" customFormat="false" ht="12" hidden="false" customHeight="true" outlineLevel="0" collapsed="false"/>
    <row r="30" customFormat="false" ht="25.5" hidden="false" customHeight="true" outlineLevel="0" collapsed="false">
      <c r="A30" s="20" t="s">
        <v>69</v>
      </c>
      <c r="B30" s="20"/>
      <c r="C30" s="20"/>
      <c r="D30" s="20"/>
      <c r="E30" s="20"/>
      <c r="F30" s="20"/>
      <c r="G30" s="20"/>
      <c r="H30" s="20"/>
    </row>
    <row r="31" customFormat="false" ht="21.75" hidden="false" customHeight="true" outlineLevel="0" collapsed="false">
      <c r="A31" s="21" t="s">
        <v>70</v>
      </c>
      <c r="B31" s="21"/>
      <c r="C31" s="21"/>
      <c r="D31" s="21"/>
      <c r="E31" s="21"/>
      <c r="F31" s="21"/>
      <c r="G31" s="21"/>
      <c r="H31" s="21"/>
    </row>
    <row r="32" customFormat="false" ht="21.75" hidden="false" customHeight="true" outlineLevel="0" collapsed="false">
      <c r="A32" s="21" t="s">
        <v>71</v>
      </c>
      <c r="B32" s="21"/>
      <c r="C32" s="21"/>
      <c r="D32" s="21"/>
      <c r="E32" s="21"/>
      <c r="F32" s="21"/>
      <c r="G32" s="21"/>
      <c r="H32" s="21"/>
    </row>
    <row r="33" customFormat="false" ht="21.75" hidden="false" customHeight="true" outlineLevel="0" collapsed="false">
      <c r="A33" s="21" t="s">
        <v>72</v>
      </c>
      <c r="B33" s="21"/>
      <c r="C33" s="21"/>
      <c r="D33" s="21"/>
      <c r="E33" s="21"/>
      <c r="F33" s="21"/>
      <c r="G33" s="21"/>
      <c r="H33" s="21"/>
    </row>
    <row r="34" customFormat="false" ht="7.5" hidden="false" customHeight="true" outlineLevel="0" collapsed="false"/>
    <row r="35" customFormat="false" ht="24" hidden="false" customHeight="true" outlineLevel="0" collapsed="false">
      <c r="A35" s="22" t="s">
        <v>73</v>
      </c>
      <c r="B35" s="22"/>
      <c r="C35" s="22"/>
      <c r="D35" s="22"/>
      <c r="E35" s="22"/>
      <c r="F35" s="22"/>
      <c r="G35" s="22"/>
      <c r="H35" s="22"/>
    </row>
    <row r="36" customFormat="false" ht="27.75" hidden="false" customHeight="true" outlineLevel="0" collapsed="false">
      <c r="A36" s="23" t="s">
        <v>74</v>
      </c>
      <c r="B36" s="23"/>
      <c r="C36" s="23"/>
      <c r="D36" s="23"/>
      <c r="E36" s="23"/>
      <c r="F36" s="23"/>
      <c r="G36" s="23"/>
      <c r="H36" s="23"/>
    </row>
    <row r="37" customFormat="false" ht="15.75" hidden="false" customHeight="true" outlineLevel="0" collapsed="false">
      <c r="A37" s="23"/>
      <c r="B37" s="23"/>
      <c r="C37" s="23"/>
      <c r="D37" s="23"/>
      <c r="E37" s="23"/>
      <c r="F37" s="23"/>
      <c r="G37" s="23"/>
      <c r="H37" s="23"/>
    </row>
  </sheetData>
  <mergeCells count="33">
    <mergeCell ref="A1:H1"/>
    <mergeCell ref="A2:H2"/>
    <mergeCell ref="A4:C4"/>
    <mergeCell ref="D4:H4"/>
    <mergeCell ref="A5:C5"/>
    <mergeCell ref="D5:H5"/>
    <mergeCell ref="A6:C6"/>
    <mergeCell ref="D6:H6"/>
    <mergeCell ref="A7:C7"/>
    <mergeCell ref="D7:H7"/>
    <mergeCell ref="A8:C8"/>
    <mergeCell ref="D8:H8"/>
    <mergeCell ref="A9:C9"/>
    <mergeCell ref="D9:H9"/>
    <mergeCell ref="A11:B11"/>
    <mergeCell ref="C11:D11"/>
    <mergeCell ref="E11:F11"/>
    <mergeCell ref="A12:B12"/>
    <mergeCell ref="C12:D12"/>
    <mergeCell ref="E12:F12"/>
    <mergeCell ref="A13:B13"/>
    <mergeCell ref="C13:D13"/>
    <mergeCell ref="E13:F13"/>
    <mergeCell ref="A14:B14"/>
    <mergeCell ref="C14:D14"/>
    <mergeCell ref="E14:F14"/>
    <mergeCell ref="A16:H16"/>
    <mergeCell ref="A30:H30"/>
    <mergeCell ref="A31:H31"/>
    <mergeCell ref="A32:H32"/>
    <mergeCell ref="A33:H33"/>
    <mergeCell ref="A35:H35"/>
    <mergeCell ref="A36:H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86AB"/>
    <pageSetUpPr fitToPage="false"/>
  </sheetPr>
  <dimension ref="A1:K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4"/>
    <col collapsed="false" customWidth="true" hidden="false" outlineLevel="0" max="3" min="3" style="0" width="38"/>
    <col collapsed="false" customWidth="true" hidden="false" outlineLevel="0" max="5" min="4" style="0" width="14"/>
    <col collapsed="false" customWidth="true" hidden="false" outlineLevel="0" max="8" min="6" style="0" width="10"/>
    <col collapsed="false" customWidth="true" hidden="false" outlineLevel="0" max="9" min="9" style="0" width="14"/>
    <col collapsed="false" customWidth="true" hidden="false" outlineLevel="0" max="10" min="10" style="0" width="10"/>
    <col collapsed="false" customWidth="true" hidden="false" outlineLevel="0" max="11" min="11" style="0" width="38"/>
  </cols>
  <sheetData>
    <row r="1" customFormat="false" ht="39.75" hidden="false" customHeight="true" outlineLevel="0" collapsed="false">
      <c r="A1" s="24" t="s">
        <v>75</v>
      </c>
      <c r="B1" s="24"/>
      <c r="C1" s="24"/>
      <c r="D1" s="24"/>
      <c r="E1" s="24"/>
      <c r="F1" s="24"/>
      <c r="G1" s="24"/>
      <c r="H1" s="24"/>
      <c r="I1" s="24"/>
      <c r="J1" s="24"/>
      <c r="K1" s="24"/>
    </row>
    <row r="2" customFormat="false" ht="19.5" hidden="false" customHeight="true" outlineLevel="0" collapsed="false">
      <c r="A2" s="25" t="s">
        <v>76</v>
      </c>
      <c r="B2" s="25"/>
      <c r="C2" s="25"/>
      <c r="D2" s="25"/>
      <c r="E2" s="25"/>
      <c r="F2" s="25"/>
      <c r="G2" s="25"/>
      <c r="H2" s="25"/>
      <c r="I2" s="25"/>
      <c r="J2" s="25"/>
      <c r="K2" s="25"/>
    </row>
    <row r="3" customFormat="false" ht="24" hidden="false" customHeight="true" outlineLevel="0" collapsed="false">
      <c r="A3" s="14" t="s">
        <v>26</v>
      </c>
      <c r="B3" s="14" t="s">
        <v>27</v>
      </c>
      <c r="C3" s="14" t="s">
        <v>28</v>
      </c>
      <c r="D3" s="14" t="s">
        <v>77</v>
      </c>
      <c r="E3" s="14" t="s">
        <v>29</v>
      </c>
      <c r="F3" s="14" t="s">
        <v>30</v>
      </c>
      <c r="G3" s="14" t="s">
        <v>31</v>
      </c>
      <c r="H3" s="14" t="s">
        <v>78</v>
      </c>
      <c r="I3" s="14" t="s">
        <v>79</v>
      </c>
      <c r="J3" s="14" t="s">
        <v>80</v>
      </c>
      <c r="K3" s="14" t="s">
        <v>81</v>
      </c>
    </row>
    <row r="4" customFormat="false" ht="21.75" hidden="false" customHeight="true" outlineLevel="0" collapsed="false">
      <c r="A4" s="26" t="s">
        <v>33</v>
      </c>
      <c r="B4" s="26" t="s">
        <v>34</v>
      </c>
      <c r="C4" s="26" t="s">
        <v>35</v>
      </c>
      <c r="D4" s="26" t="s">
        <v>82</v>
      </c>
      <c r="E4" s="26" t="n">
        <v>5</v>
      </c>
      <c r="F4" s="26" t="n">
        <v>5</v>
      </c>
      <c r="G4" s="26" t="n">
        <v>0</v>
      </c>
      <c r="H4" s="27" t="n">
        <f aca="false">G4/F4</f>
        <v>0</v>
      </c>
      <c r="I4" s="16" t="s">
        <v>37</v>
      </c>
      <c r="J4" s="28" t="s">
        <v>83</v>
      </c>
      <c r="K4" s="4" t="s">
        <v>84</v>
      </c>
    </row>
    <row r="5" customFormat="false" ht="21.75" hidden="false" customHeight="true" outlineLevel="0" collapsed="false">
      <c r="A5" s="17" t="s">
        <v>38</v>
      </c>
      <c r="B5" s="17" t="s">
        <v>39</v>
      </c>
      <c r="C5" s="17" t="s">
        <v>85</v>
      </c>
      <c r="D5" s="17" t="s">
        <v>86</v>
      </c>
      <c r="E5" s="17" t="n">
        <v>8</v>
      </c>
      <c r="F5" s="17" t="n">
        <v>8</v>
      </c>
      <c r="G5" s="17" t="n">
        <v>0</v>
      </c>
      <c r="H5" s="29" t="n">
        <f aca="false">G5/F5</f>
        <v>0</v>
      </c>
      <c r="I5" s="16" t="s">
        <v>37</v>
      </c>
      <c r="J5" s="18" t="s">
        <v>87</v>
      </c>
      <c r="K5" s="30" t="s">
        <v>88</v>
      </c>
    </row>
    <row r="6" customFormat="false" ht="21.75" hidden="false" customHeight="true" outlineLevel="0" collapsed="false">
      <c r="A6" s="26" t="s">
        <v>41</v>
      </c>
      <c r="B6" s="26" t="s">
        <v>42</v>
      </c>
      <c r="C6" s="26" t="s">
        <v>89</v>
      </c>
      <c r="D6" s="26" t="s">
        <v>86</v>
      </c>
      <c r="E6" s="26" t="n">
        <v>7</v>
      </c>
      <c r="F6" s="26" t="n">
        <v>7</v>
      </c>
      <c r="G6" s="26" t="n">
        <v>0</v>
      </c>
      <c r="H6" s="27" t="n">
        <f aca="false">G6/F6</f>
        <v>0</v>
      </c>
      <c r="I6" s="16" t="s">
        <v>37</v>
      </c>
      <c r="J6" s="31" t="s">
        <v>90</v>
      </c>
      <c r="K6" s="4" t="s">
        <v>91</v>
      </c>
    </row>
    <row r="7" customFormat="false" ht="21.75" hidden="false" customHeight="true" outlineLevel="0" collapsed="false">
      <c r="A7" s="17" t="s">
        <v>44</v>
      </c>
      <c r="B7" s="17" t="s">
        <v>45</v>
      </c>
      <c r="C7" s="17" t="s">
        <v>92</v>
      </c>
      <c r="D7" s="17" t="s">
        <v>45</v>
      </c>
      <c r="E7" s="17" t="n">
        <v>5</v>
      </c>
      <c r="F7" s="17" t="n">
        <v>5</v>
      </c>
      <c r="G7" s="17" t="n">
        <v>0</v>
      </c>
      <c r="H7" s="29" t="n">
        <f aca="false">G7/F7</f>
        <v>0</v>
      </c>
      <c r="I7" s="16" t="s">
        <v>37</v>
      </c>
      <c r="J7" s="28" t="s">
        <v>83</v>
      </c>
      <c r="K7" s="30" t="s">
        <v>93</v>
      </c>
    </row>
    <row r="8" customFormat="false" ht="21.75" hidden="false" customHeight="true" outlineLevel="0" collapsed="false">
      <c r="A8" s="26" t="s">
        <v>47</v>
      </c>
      <c r="B8" s="26" t="s">
        <v>48</v>
      </c>
      <c r="C8" s="26" t="s">
        <v>94</v>
      </c>
      <c r="D8" s="26" t="s">
        <v>48</v>
      </c>
      <c r="E8" s="26" t="n">
        <v>6</v>
      </c>
      <c r="F8" s="26" t="n">
        <v>6</v>
      </c>
      <c r="G8" s="26" t="n">
        <v>0</v>
      </c>
      <c r="H8" s="27" t="n">
        <f aca="false">G8/F8</f>
        <v>0</v>
      </c>
      <c r="I8" s="16" t="s">
        <v>37</v>
      </c>
      <c r="J8" s="18" t="s">
        <v>87</v>
      </c>
      <c r="K8" s="4" t="s">
        <v>95</v>
      </c>
    </row>
    <row r="9" customFormat="false" ht="21.75" hidden="false" customHeight="true" outlineLevel="0" collapsed="false">
      <c r="A9" s="17" t="s">
        <v>50</v>
      </c>
      <c r="B9" s="17" t="s">
        <v>51</v>
      </c>
      <c r="C9" s="17" t="s">
        <v>96</v>
      </c>
      <c r="D9" s="17" t="s">
        <v>51</v>
      </c>
      <c r="E9" s="17" t="n">
        <v>4</v>
      </c>
      <c r="F9" s="17" t="n">
        <v>4</v>
      </c>
      <c r="G9" s="17" t="n">
        <v>0</v>
      </c>
      <c r="H9" s="29" t="n">
        <f aca="false">G9/F9</f>
        <v>0</v>
      </c>
      <c r="I9" s="16" t="s">
        <v>37</v>
      </c>
      <c r="J9" s="31" t="s">
        <v>90</v>
      </c>
      <c r="K9" s="30" t="s">
        <v>97</v>
      </c>
    </row>
    <row r="10" customFormat="false" ht="21.75" hidden="false" customHeight="true" outlineLevel="0" collapsed="false">
      <c r="A10" s="26" t="s">
        <v>53</v>
      </c>
      <c r="B10" s="26" t="s">
        <v>45</v>
      </c>
      <c r="C10" s="26" t="s">
        <v>98</v>
      </c>
      <c r="D10" s="26" t="s">
        <v>45</v>
      </c>
      <c r="E10" s="26" t="n">
        <v>9</v>
      </c>
      <c r="F10" s="26" t="n">
        <v>8</v>
      </c>
      <c r="G10" s="26" t="n">
        <v>1</v>
      </c>
      <c r="H10" s="27" t="n">
        <f aca="false">G10/F10</f>
        <v>0.125</v>
      </c>
      <c r="I10" s="18" t="s">
        <v>56</v>
      </c>
      <c r="J10" s="28" t="s">
        <v>83</v>
      </c>
      <c r="K10" s="4" t="s">
        <v>99</v>
      </c>
    </row>
    <row r="11" customFormat="false" ht="21.75" hidden="false" customHeight="true" outlineLevel="0" collapsed="false">
      <c r="A11" s="17" t="s">
        <v>57</v>
      </c>
      <c r="B11" s="17" t="s">
        <v>45</v>
      </c>
      <c r="C11" s="17" t="s">
        <v>100</v>
      </c>
      <c r="D11" s="17" t="s">
        <v>45</v>
      </c>
      <c r="E11" s="17" t="n">
        <v>6</v>
      </c>
      <c r="F11" s="17" t="n">
        <v>5</v>
      </c>
      <c r="G11" s="17" t="n">
        <v>1</v>
      </c>
      <c r="H11" s="29" t="n">
        <f aca="false">G11/F11</f>
        <v>0.2</v>
      </c>
      <c r="I11" s="18" t="s">
        <v>56</v>
      </c>
      <c r="J11" s="28" t="s">
        <v>83</v>
      </c>
      <c r="K11" s="30" t="s">
        <v>101</v>
      </c>
    </row>
    <row r="12" customFormat="false" ht="21.75" hidden="false" customHeight="true" outlineLevel="0" collapsed="false">
      <c r="A12" s="26" t="s">
        <v>60</v>
      </c>
      <c r="B12" s="26" t="s">
        <v>45</v>
      </c>
      <c r="C12" s="26" t="s">
        <v>102</v>
      </c>
      <c r="D12" s="26" t="s">
        <v>45</v>
      </c>
      <c r="E12" s="26" t="n">
        <v>6</v>
      </c>
      <c r="F12" s="26" t="n">
        <v>3</v>
      </c>
      <c r="G12" s="26" t="n">
        <v>3</v>
      </c>
      <c r="H12" s="27" t="n">
        <f aca="false">G12/F12</f>
        <v>1</v>
      </c>
      <c r="I12" s="18" t="s">
        <v>56</v>
      </c>
      <c r="J12" s="18" t="s">
        <v>87</v>
      </c>
      <c r="K12" s="4" t="s">
        <v>103</v>
      </c>
    </row>
    <row r="13" customFormat="false" ht="21.75" hidden="false" customHeight="true" outlineLevel="0" collapsed="false">
      <c r="A13" s="17" t="s">
        <v>63</v>
      </c>
      <c r="B13" s="17" t="s">
        <v>64</v>
      </c>
      <c r="C13" s="17" t="s">
        <v>104</v>
      </c>
      <c r="D13" s="17" t="s">
        <v>51</v>
      </c>
      <c r="E13" s="17" t="n">
        <v>18</v>
      </c>
      <c r="F13" s="17" t="n">
        <v>17</v>
      </c>
      <c r="G13" s="17" t="n">
        <v>1</v>
      </c>
      <c r="H13" s="29" t="n">
        <f aca="false">G13/F13</f>
        <v>0.0588235294117647</v>
      </c>
      <c r="I13" s="18" t="s">
        <v>56</v>
      </c>
      <c r="J13" s="18" t="s">
        <v>87</v>
      </c>
      <c r="K13" s="30" t="s">
        <v>105</v>
      </c>
    </row>
    <row r="14" customFormat="false" ht="24" hidden="false" customHeight="true" outlineLevel="0" collapsed="false">
      <c r="A14" s="19" t="s">
        <v>67</v>
      </c>
      <c r="B14" s="19" t="s">
        <v>68</v>
      </c>
      <c r="C14" s="19" t="s">
        <v>68</v>
      </c>
      <c r="D14" s="19" t="s">
        <v>68</v>
      </c>
      <c r="E14" s="19" t="n">
        <f aca="false">SUM(E4:E13)</f>
        <v>74</v>
      </c>
      <c r="F14" s="19" t="n">
        <f aca="false">SUM(F4:F13)</f>
        <v>68</v>
      </c>
      <c r="G14" s="19" t="n">
        <f aca="false">SUM(G4:G13)</f>
        <v>6</v>
      </c>
      <c r="H14" s="32" t="n">
        <f aca="false">F14/E14</f>
        <v>0.918918918918919</v>
      </c>
      <c r="I14" s="19" t="s">
        <v>68</v>
      </c>
      <c r="J14" s="19" t="s">
        <v>68</v>
      </c>
      <c r="K14" s="19" t="s">
        <v>68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74C3C"/>
    <pageSetUpPr fitToPage="false"/>
  </sheetPr>
  <dimension ref="A1:J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36"/>
    <col collapsed="false" customWidth="true" hidden="false" outlineLevel="0" max="5" min="5" style="0" width="32"/>
    <col collapsed="false" customWidth="true" hidden="false" outlineLevel="0" max="6" min="6" style="0" width="34"/>
    <col collapsed="false" customWidth="true" hidden="false" outlineLevel="0" max="7" min="7" style="0" width="36"/>
    <col collapsed="false" customWidth="true" hidden="false" outlineLevel="0" max="9" min="8" style="0" width="10"/>
    <col collapsed="false" customWidth="true" hidden="false" outlineLevel="0" max="10" min="10" style="0" width="16"/>
  </cols>
  <sheetData>
    <row r="1" customFormat="false" ht="39.75" hidden="false" customHeight="true" outlineLevel="0" collapsed="false">
      <c r="A1" s="24" t="s">
        <v>106</v>
      </c>
      <c r="B1" s="24"/>
      <c r="C1" s="24"/>
      <c r="D1" s="24"/>
      <c r="E1" s="24"/>
      <c r="F1" s="24"/>
      <c r="G1" s="24"/>
      <c r="H1" s="24"/>
      <c r="I1" s="24"/>
      <c r="J1" s="24"/>
    </row>
    <row r="2" customFormat="false" ht="19.5" hidden="false" customHeight="true" outlineLevel="0" collapsed="false">
      <c r="A2" s="33" t="s">
        <v>107</v>
      </c>
      <c r="B2" s="33"/>
      <c r="C2" s="33"/>
      <c r="D2" s="33"/>
      <c r="E2" s="33"/>
      <c r="F2" s="33"/>
      <c r="G2" s="33"/>
      <c r="H2" s="33"/>
      <c r="I2" s="33"/>
      <c r="J2" s="33"/>
    </row>
    <row r="3" customFormat="false" ht="24" hidden="false" customHeight="true" outlineLevel="0" collapsed="false">
      <c r="A3" s="14" t="s">
        <v>108</v>
      </c>
      <c r="B3" s="14" t="s">
        <v>109</v>
      </c>
      <c r="C3" s="14" t="s">
        <v>27</v>
      </c>
      <c r="D3" s="14" t="s">
        <v>110</v>
      </c>
      <c r="E3" s="14" t="s">
        <v>111</v>
      </c>
      <c r="F3" s="14" t="s">
        <v>112</v>
      </c>
      <c r="G3" s="14" t="s">
        <v>113</v>
      </c>
      <c r="H3" s="14" t="s">
        <v>114</v>
      </c>
      <c r="I3" s="14" t="s">
        <v>32</v>
      </c>
      <c r="J3" s="14" t="s">
        <v>115</v>
      </c>
    </row>
    <row r="4" customFormat="false" ht="60" hidden="false" customHeight="true" outlineLevel="0" collapsed="false">
      <c r="A4" s="34" t="s">
        <v>116</v>
      </c>
      <c r="B4" s="34" t="s">
        <v>60</v>
      </c>
      <c r="C4" s="35" t="s">
        <v>117</v>
      </c>
      <c r="D4" s="35" t="s">
        <v>118</v>
      </c>
      <c r="E4" s="35" t="s">
        <v>119</v>
      </c>
      <c r="F4" s="35" t="s">
        <v>120</v>
      </c>
      <c r="G4" s="35" t="s">
        <v>121</v>
      </c>
      <c r="H4" s="28" t="s">
        <v>90</v>
      </c>
      <c r="I4" s="36" t="s">
        <v>122</v>
      </c>
      <c r="J4" s="35" t="s">
        <v>123</v>
      </c>
    </row>
    <row r="5" customFormat="false" ht="60" hidden="false" customHeight="true" outlineLevel="0" collapsed="false">
      <c r="A5" s="37" t="s">
        <v>124</v>
      </c>
      <c r="B5" s="37" t="s">
        <v>60</v>
      </c>
      <c r="C5" s="38" t="s">
        <v>117</v>
      </c>
      <c r="D5" s="38" t="s">
        <v>125</v>
      </c>
      <c r="E5" s="38" t="s">
        <v>126</v>
      </c>
      <c r="F5" s="38" t="s">
        <v>127</v>
      </c>
      <c r="G5" s="38" t="s">
        <v>128</v>
      </c>
      <c r="H5" s="28" t="s">
        <v>90</v>
      </c>
      <c r="I5" s="36" t="s">
        <v>122</v>
      </c>
      <c r="J5" s="38" t="s">
        <v>123</v>
      </c>
    </row>
    <row r="6" customFormat="false" ht="60" hidden="false" customHeight="true" outlineLevel="0" collapsed="false">
      <c r="A6" s="34" t="s">
        <v>129</v>
      </c>
      <c r="B6" s="34" t="s">
        <v>60</v>
      </c>
      <c r="C6" s="35" t="s">
        <v>117</v>
      </c>
      <c r="D6" s="35" t="s">
        <v>130</v>
      </c>
      <c r="E6" s="35" t="s">
        <v>131</v>
      </c>
      <c r="F6" s="35" t="s">
        <v>132</v>
      </c>
      <c r="G6" s="35" t="s">
        <v>133</v>
      </c>
      <c r="H6" s="18" t="s">
        <v>83</v>
      </c>
      <c r="I6" s="36" t="s">
        <v>122</v>
      </c>
      <c r="J6" s="35" t="s">
        <v>123</v>
      </c>
    </row>
    <row r="7" customFormat="false" ht="60" hidden="false" customHeight="true" outlineLevel="0" collapsed="false">
      <c r="A7" s="37" t="s">
        <v>134</v>
      </c>
      <c r="B7" s="37" t="s">
        <v>53</v>
      </c>
      <c r="C7" s="38" t="s">
        <v>135</v>
      </c>
      <c r="D7" s="38" t="s">
        <v>136</v>
      </c>
      <c r="E7" s="38" t="s">
        <v>137</v>
      </c>
      <c r="F7" s="38" t="s">
        <v>138</v>
      </c>
      <c r="G7" s="38" t="s">
        <v>139</v>
      </c>
      <c r="H7" s="28" t="s">
        <v>90</v>
      </c>
      <c r="I7" s="36" t="s">
        <v>122</v>
      </c>
      <c r="J7" s="38" t="s">
        <v>123</v>
      </c>
    </row>
    <row r="8" customFormat="false" ht="60" hidden="false" customHeight="true" outlineLevel="0" collapsed="false">
      <c r="A8" s="34" t="s">
        <v>140</v>
      </c>
      <c r="B8" s="34" t="s">
        <v>57</v>
      </c>
      <c r="C8" s="35" t="s">
        <v>141</v>
      </c>
      <c r="D8" s="35" t="s">
        <v>142</v>
      </c>
      <c r="E8" s="35" t="s">
        <v>143</v>
      </c>
      <c r="F8" s="35" t="s">
        <v>144</v>
      </c>
      <c r="G8" s="35" t="s">
        <v>145</v>
      </c>
      <c r="H8" s="18" t="s">
        <v>83</v>
      </c>
      <c r="I8" s="36" t="s">
        <v>122</v>
      </c>
      <c r="J8" s="35" t="s">
        <v>123</v>
      </c>
    </row>
    <row r="9" customFormat="false" ht="60" hidden="false" customHeight="true" outlineLevel="0" collapsed="false">
      <c r="A9" s="37" t="s">
        <v>146</v>
      </c>
      <c r="B9" s="37" t="s">
        <v>63</v>
      </c>
      <c r="C9" s="38" t="s">
        <v>147</v>
      </c>
      <c r="D9" s="38" t="s">
        <v>148</v>
      </c>
      <c r="E9" s="38" t="s">
        <v>149</v>
      </c>
      <c r="F9" s="38" t="s">
        <v>150</v>
      </c>
      <c r="G9" s="38" t="s">
        <v>151</v>
      </c>
      <c r="H9" s="18" t="s">
        <v>83</v>
      </c>
      <c r="I9" s="36" t="s">
        <v>122</v>
      </c>
      <c r="J9" s="38" t="s">
        <v>123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7AE60"/>
    <pageSetUpPr fitToPage="false"/>
  </sheetPr>
  <dimension ref="A1:L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2" min="1" style="0" width="11"/>
  </cols>
  <sheetData>
    <row r="1" customFormat="false" ht="43.5" hidden="false" customHeight="true" outlineLevel="0" collapsed="false">
      <c r="A1" s="39" t="s">
        <v>152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</row>
    <row r="23" customFormat="false" ht="15" hidden="false" customHeight="false" outlineLevel="0" collapsed="false">
      <c r="K23" s="0" t="s">
        <v>153</v>
      </c>
      <c r="L23" s="0" t="s">
        <v>154</v>
      </c>
    </row>
    <row r="24" customFormat="false" ht="15" hidden="false" customHeight="false" outlineLevel="0" collapsed="false">
      <c r="K24" s="0" t="s">
        <v>30</v>
      </c>
      <c r="L24" s="0" t="n">
        <v>68</v>
      </c>
    </row>
    <row r="25" customFormat="false" ht="18" hidden="false" customHeight="true" outlineLevel="0" collapsed="false">
      <c r="A25" s="40" t="s">
        <v>14</v>
      </c>
      <c r="B25" s="40"/>
      <c r="C25" s="40"/>
      <c r="D25" s="40" t="s">
        <v>29</v>
      </c>
      <c r="E25" s="40"/>
      <c r="F25" s="40"/>
      <c r="G25" s="41" t="s">
        <v>155</v>
      </c>
      <c r="H25" s="41"/>
      <c r="I25" s="41"/>
      <c r="J25" s="42" t="s">
        <v>156</v>
      </c>
      <c r="K25" s="42"/>
      <c r="L25" s="42"/>
    </row>
    <row r="26" customFormat="false" ht="36" hidden="false" customHeight="true" outlineLevel="0" collapsed="false">
      <c r="A26" s="43" t="s">
        <v>17</v>
      </c>
      <c r="B26" s="43"/>
      <c r="C26" s="43"/>
      <c r="D26" s="43" t="s">
        <v>17</v>
      </c>
      <c r="E26" s="43"/>
      <c r="F26" s="43"/>
      <c r="G26" s="44" t="s">
        <v>18</v>
      </c>
      <c r="H26" s="44"/>
      <c r="I26" s="44"/>
      <c r="J26" s="45" t="s">
        <v>19</v>
      </c>
      <c r="K26" s="45"/>
      <c r="L26" s="45"/>
    </row>
    <row r="27" customFormat="false" ht="6" hidden="false" customHeight="true" outlineLevel="0" collapsed="false">
      <c r="A27" s="43"/>
      <c r="B27" s="43"/>
      <c r="C27" s="43"/>
      <c r="D27" s="43"/>
      <c r="E27" s="43"/>
      <c r="F27" s="43"/>
      <c r="G27" s="44"/>
      <c r="H27" s="44"/>
      <c r="I27" s="44"/>
      <c r="J27" s="45"/>
      <c r="K27" s="45"/>
      <c r="L27" s="45"/>
    </row>
    <row r="28" customFormat="false" ht="15" hidden="false" customHeight="false" outlineLevel="0" collapsed="false">
      <c r="K28" s="0" t="s">
        <v>83</v>
      </c>
      <c r="L28" s="0" t="n">
        <v>3</v>
      </c>
    </row>
    <row r="29" customFormat="false" ht="18" hidden="false" customHeight="true" outlineLevel="0" collapsed="false">
      <c r="A29" s="41" t="s">
        <v>157</v>
      </c>
      <c r="B29" s="41"/>
      <c r="C29" s="41"/>
      <c r="D29" s="46" t="s">
        <v>158</v>
      </c>
      <c r="E29" s="46"/>
      <c r="F29" s="46"/>
      <c r="G29" s="42" t="s">
        <v>159</v>
      </c>
      <c r="H29" s="42"/>
      <c r="I29" s="42"/>
      <c r="J29" s="46" t="s">
        <v>160</v>
      </c>
      <c r="K29" s="46"/>
      <c r="L29" s="46"/>
    </row>
    <row r="30" customFormat="false" ht="36" hidden="false" customHeight="true" outlineLevel="0" collapsed="false">
      <c r="A30" s="44" t="s">
        <v>23</v>
      </c>
      <c r="B30" s="44"/>
      <c r="C30" s="44"/>
      <c r="D30" s="47" t="s">
        <v>19</v>
      </c>
      <c r="E30" s="47"/>
      <c r="F30" s="47"/>
      <c r="G30" s="45" t="s">
        <v>24</v>
      </c>
      <c r="H30" s="45"/>
      <c r="I30" s="45"/>
      <c r="J30" s="47" t="s">
        <v>24</v>
      </c>
      <c r="K30" s="47"/>
      <c r="L30" s="47"/>
    </row>
    <row r="31" customFormat="false" ht="6" hidden="false" customHeight="true" outlineLevel="0" collapsed="false">
      <c r="A31" s="44"/>
      <c r="B31" s="44"/>
      <c r="C31" s="44"/>
      <c r="D31" s="47"/>
      <c r="E31" s="47"/>
      <c r="F31" s="47"/>
      <c r="G31" s="45"/>
      <c r="H31" s="45"/>
      <c r="I31" s="45"/>
      <c r="J31" s="47"/>
      <c r="K31" s="47"/>
      <c r="L31" s="47"/>
    </row>
    <row r="33" customFormat="false" ht="18" hidden="false" customHeight="true" outlineLevel="0" collapsed="false">
      <c r="A33" s="46" t="s">
        <v>161</v>
      </c>
      <c r="B33" s="46"/>
      <c r="C33" s="46"/>
      <c r="D33" s="42" t="s">
        <v>162</v>
      </c>
      <c r="E33" s="42"/>
      <c r="F33" s="42"/>
      <c r="G33" s="46" t="s">
        <v>163</v>
      </c>
      <c r="H33" s="46"/>
      <c r="I33" s="46"/>
      <c r="J33" s="46" t="s">
        <v>164</v>
      </c>
      <c r="K33" s="46"/>
      <c r="L33" s="46"/>
    </row>
    <row r="34" customFormat="false" ht="36" hidden="false" customHeight="true" outlineLevel="0" collapsed="false">
      <c r="A34" s="47" t="s">
        <v>165</v>
      </c>
      <c r="B34" s="47"/>
      <c r="C34" s="47"/>
      <c r="D34" s="45" t="s">
        <v>166</v>
      </c>
      <c r="E34" s="45"/>
      <c r="F34" s="45"/>
      <c r="G34" s="47" t="s">
        <v>167</v>
      </c>
      <c r="H34" s="47"/>
      <c r="I34" s="47"/>
      <c r="J34" s="47" t="s">
        <v>168</v>
      </c>
      <c r="K34" s="47"/>
      <c r="L34" s="47"/>
    </row>
    <row r="35" customFormat="false" ht="6" hidden="false" customHeight="true" outlineLevel="0" collapsed="false">
      <c r="A35" s="47"/>
      <c r="B35" s="47"/>
      <c r="C35" s="47"/>
      <c r="D35" s="45"/>
      <c r="E35" s="45"/>
      <c r="F35" s="45"/>
      <c r="G35" s="47"/>
      <c r="H35" s="47"/>
      <c r="I35" s="47"/>
      <c r="J35" s="47"/>
      <c r="K35" s="47"/>
      <c r="L35" s="47"/>
    </row>
  </sheetData>
  <mergeCells count="25">
    <mergeCell ref="A1:L1"/>
    <mergeCell ref="A25:C25"/>
    <mergeCell ref="D25:F25"/>
    <mergeCell ref="G25:I25"/>
    <mergeCell ref="J25:L25"/>
    <mergeCell ref="A26:C27"/>
    <mergeCell ref="D26:F27"/>
    <mergeCell ref="G26:I27"/>
    <mergeCell ref="J26:L27"/>
    <mergeCell ref="A29:C29"/>
    <mergeCell ref="D29:F29"/>
    <mergeCell ref="G29:I29"/>
    <mergeCell ref="J29:L29"/>
    <mergeCell ref="A30:C31"/>
    <mergeCell ref="D30:F31"/>
    <mergeCell ref="G30:I31"/>
    <mergeCell ref="J30:L31"/>
    <mergeCell ref="A33:C33"/>
    <mergeCell ref="D33:F33"/>
    <mergeCell ref="G33:I33"/>
    <mergeCell ref="J33:L33"/>
    <mergeCell ref="A34:C35"/>
    <mergeCell ref="D34:F35"/>
    <mergeCell ref="G34:I35"/>
    <mergeCell ref="J34:L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39C12"/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5" min="3" style="0" width="14"/>
    <col collapsed="false" customWidth="true" hidden="false" outlineLevel="0" max="6" min="6" style="0" width="36"/>
  </cols>
  <sheetData>
    <row r="1" customFormat="false" ht="39.75" hidden="false" customHeight="true" outlineLevel="0" collapsed="false">
      <c r="A1" s="48" t="s">
        <v>169</v>
      </c>
      <c r="B1" s="48"/>
      <c r="C1" s="48"/>
      <c r="D1" s="48"/>
      <c r="E1" s="48"/>
      <c r="F1" s="48"/>
    </row>
    <row r="2" customFormat="false" ht="24" hidden="false" customHeight="true" outlineLevel="0" collapsed="false">
      <c r="A2" s="49" t="s">
        <v>170</v>
      </c>
      <c r="B2" s="49"/>
      <c r="C2" s="49"/>
      <c r="D2" s="49"/>
      <c r="E2" s="49"/>
      <c r="F2" s="49"/>
    </row>
    <row r="3" customFormat="false" ht="21.75" hidden="false" customHeight="true" outlineLevel="0" collapsed="false">
      <c r="A3" s="14" t="s">
        <v>171</v>
      </c>
      <c r="B3" s="14" t="s">
        <v>172</v>
      </c>
      <c r="C3" s="14" t="s">
        <v>115</v>
      </c>
      <c r="D3" s="14" t="s">
        <v>173</v>
      </c>
      <c r="E3" s="14" t="s">
        <v>32</v>
      </c>
      <c r="F3" s="14" t="s">
        <v>174</v>
      </c>
    </row>
    <row r="4" customFormat="false" ht="24" hidden="false" customHeight="true" outlineLevel="0" collapsed="false">
      <c r="A4" s="26" t="n">
        <v>1</v>
      </c>
      <c r="B4" s="4" t="s">
        <v>175</v>
      </c>
      <c r="C4" s="26" t="s">
        <v>176</v>
      </c>
      <c r="D4" s="26" t="s">
        <v>177</v>
      </c>
      <c r="E4" s="16" t="s">
        <v>178</v>
      </c>
      <c r="F4" s="26" t="s">
        <v>179</v>
      </c>
    </row>
    <row r="5" customFormat="false" ht="24" hidden="false" customHeight="true" outlineLevel="0" collapsed="false">
      <c r="A5" s="17" t="n">
        <v>2</v>
      </c>
      <c r="B5" s="30" t="s">
        <v>180</v>
      </c>
      <c r="C5" s="17" t="s">
        <v>176</v>
      </c>
      <c r="D5" s="17" t="s">
        <v>177</v>
      </c>
      <c r="E5" s="16" t="s">
        <v>178</v>
      </c>
      <c r="F5" s="17" t="s">
        <v>181</v>
      </c>
    </row>
    <row r="6" customFormat="false" ht="24" hidden="false" customHeight="true" outlineLevel="0" collapsed="false">
      <c r="A6" s="26" t="n">
        <v>3</v>
      </c>
      <c r="B6" s="4" t="s">
        <v>182</v>
      </c>
      <c r="C6" s="26" t="s">
        <v>183</v>
      </c>
      <c r="D6" s="26" t="s">
        <v>184</v>
      </c>
      <c r="E6" s="18" t="s">
        <v>185</v>
      </c>
      <c r="F6" s="26" t="s">
        <v>186</v>
      </c>
    </row>
    <row r="7" customFormat="false" ht="24" hidden="false" customHeight="true" outlineLevel="0" collapsed="false">
      <c r="A7" s="17" t="n">
        <v>4</v>
      </c>
      <c r="B7" s="30" t="s">
        <v>187</v>
      </c>
      <c r="C7" s="17" t="s">
        <v>183</v>
      </c>
      <c r="D7" s="17" t="s">
        <v>184</v>
      </c>
      <c r="E7" s="18" t="s">
        <v>185</v>
      </c>
      <c r="F7" s="17" t="s">
        <v>188</v>
      </c>
    </row>
    <row r="8" customFormat="false" ht="24" hidden="false" customHeight="true" outlineLevel="0" collapsed="false">
      <c r="A8" s="26" t="n">
        <v>5</v>
      </c>
      <c r="B8" s="4" t="s">
        <v>189</v>
      </c>
      <c r="C8" s="26" t="s">
        <v>183</v>
      </c>
      <c r="D8" s="26" t="s">
        <v>184</v>
      </c>
      <c r="E8" s="18" t="s">
        <v>185</v>
      </c>
      <c r="F8" s="26" t="s">
        <v>190</v>
      </c>
    </row>
    <row r="9" customFormat="false" ht="24" hidden="false" customHeight="true" outlineLevel="0" collapsed="false">
      <c r="A9" s="17" t="n">
        <v>6</v>
      </c>
      <c r="B9" s="30" t="s">
        <v>191</v>
      </c>
      <c r="C9" s="17" t="s">
        <v>183</v>
      </c>
      <c r="D9" s="17" t="s">
        <v>192</v>
      </c>
      <c r="E9" s="18" t="s">
        <v>185</v>
      </c>
      <c r="F9" s="17" t="s">
        <v>186</v>
      </c>
    </row>
    <row r="10" customFormat="false" ht="24" hidden="false" customHeight="true" outlineLevel="0" collapsed="false">
      <c r="A10" s="26" t="n">
        <v>7</v>
      </c>
      <c r="B10" s="4" t="s">
        <v>193</v>
      </c>
      <c r="C10" s="26" t="s">
        <v>183</v>
      </c>
      <c r="D10" s="26" t="s">
        <v>192</v>
      </c>
      <c r="E10" s="18" t="s">
        <v>185</v>
      </c>
      <c r="F10" s="26" t="s">
        <v>186</v>
      </c>
    </row>
    <row r="11" customFormat="false" ht="24" hidden="false" customHeight="true" outlineLevel="0" collapsed="false">
      <c r="A11" s="17" t="n">
        <v>8</v>
      </c>
      <c r="B11" s="30" t="s">
        <v>194</v>
      </c>
      <c r="C11" s="17" t="s">
        <v>183</v>
      </c>
      <c r="D11" s="17" t="s">
        <v>192</v>
      </c>
      <c r="E11" s="18" t="s">
        <v>185</v>
      </c>
      <c r="F11" s="17" t="s">
        <v>195</v>
      </c>
    </row>
    <row r="12" customFormat="false" ht="24" hidden="false" customHeight="true" outlineLevel="0" collapsed="false">
      <c r="A12" s="26" t="n">
        <v>9</v>
      </c>
      <c r="B12" s="4" t="s">
        <v>196</v>
      </c>
      <c r="C12" s="26" t="s">
        <v>176</v>
      </c>
      <c r="D12" s="26" t="s">
        <v>197</v>
      </c>
      <c r="E12" s="28" t="s">
        <v>198</v>
      </c>
      <c r="F12" s="26" t="s">
        <v>199</v>
      </c>
    </row>
    <row r="13" customFormat="false" ht="24" hidden="false" customHeight="true" outlineLevel="0" collapsed="false">
      <c r="A13" s="17" t="n">
        <v>10</v>
      </c>
      <c r="B13" s="30" t="s">
        <v>200</v>
      </c>
      <c r="C13" s="17" t="s">
        <v>48</v>
      </c>
      <c r="D13" s="17" t="s">
        <v>177</v>
      </c>
      <c r="E13" s="16" t="s">
        <v>178</v>
      </c>
      <c r="F13" s="17" t="s">
        <v>201</v>
      </c>
    </row>
    <row r="14" customFormat="false" ht="24" hidden="false" customHeight="true" outlineLevel="0" collapsed="false">
      <c r="A14" s="26" t="n">
        <v>11</v>
      </c>
      <c r="B14" s="4" t="s">
        <v>202</v>
      </c>
      <c r="C14" s="26" t="s">
        <v>203</v>
      </c>
      <c r="D14" s="26" t="s">
        <v>204</v>
      </c>
      <c r="E14" s="28" t="s">
        <v>198</v>
      </c>
      <c r="F14" s="26" t="s">
        <v>205</v>
      </c>
    </row>
    <row r="15" customFormat="false" ht="24" hidden="false" customHeight="true" outlineLevel="0" collapsed="false">
      <c r="A15" s="17" t="n">
        <v>12</v>
      </c>
      <c r="B15" s="30" t="s">
        <v>206</v>
      </c>
      <c r="C15" s="17" t="s">
        <v>207</v>
      </c>
      <c r="D15" s="17" t="s">
        <v>204</v>
      </c>
      <c r="E15" s="50" t="s">
        <v>208</v>
      </c>
      <c r="F15" s="17" t="s">
        <v>209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2026-02-24T04:50:26Z</dcterms:created>
  <dc:creator>openpyxl</dc:creator>
  <dc:description/>
  <dc:language>en-US</dc:language>
  <cp:lastModifiedBy/>
  <dcterms:modified xsi:type="dcterms:W3CDTF">2026-02-24T04:50:32Z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